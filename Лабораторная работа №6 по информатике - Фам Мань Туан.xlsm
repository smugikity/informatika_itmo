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bai_tap\информатика\"/>
    </mc:Choice>
  </mc:AlternateContent>
  <xr:revisionPtr revIDLastSave="0" documentId="13_ncr:1_{D9A0291C-A02B-420E-9CA7-DA39BA8C7976}" xr6:coauthVersionLast="45" xr6:coauthVersionMax="45" xr10:uidLastSave="{00000000-0000-0000-0000-000000000000}"/>
  <bookViews>
    <workbookView xWindow="-108" yWindow="-108" windowWidth="23256" windowHeight="13176" tabRatio="701" activeTab="4" xr2:uid="{00000000-000D-0000-FFFF-FFFF00000000}"/>
  </bookViews>
  <sheets>
    <sheet name="A. Формула" sheetId="1" r:id="rId1"/>
    <sheet name="C. Справочник" sheetId="4" r:id="rId2"/>
    <sheet name="C. Расчет" sheetId="5" r:id="rId3"/>
    <sheet name="C. Диаграмма" sheetId="6" r:id="rId4"/>
    <sheet name="D. Фильтр" sheetId="35" r:id="rId5"/>
    <sheet name="F. Таблица 1" sheetId="9" r:id="rId6"/>
    <sheet name="F. Таблица 2" sheetId="10" r:id="rId7"/>
    <sheet name="G." sheetId="39" r:id="rId8"/>
  </sheets>
  <functionGroups builtInGroupCount="19"/>
  <definedNames>
    <definedName name="_xlnm._FilterDatabase" localSheetId="4" hidden="1">'D. Фильтр'!$A$1:$H$16</definedName>
    <definedName name="_xlnm.Criteria" localSheetId="4">'D. Фильтр'!$A$20:$B$21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C4" i="9"/>
  <c r="G15" i="5" l="1"/>
  <c r="H15" i="5"/>
  <c r="I15" i="5"/>
  <c r="J15" i="5"/>
  <c r="K15" i="5"/>
  <c r="L15" i="5"/>
  <c r="M15" i="5"/>
  <c r="F15" i="5"/>
  <c r="M10" i="5"/>
  <c r="M11" i="5"/>
  <c r="M12" i="5"/>
  <c r="M13" i="5"/>
  <c r="M14" i="5"/>
  <c r="M9" i="5"/>
  <c r="J10" i="5"/>
  <c r="L10" i="5" s="1"/>
  <c r="K10" i="5"/>
  <c r="J11" i="5"/>
  <c r="L11" i="5" s="1"/>
  <c r="K11" i="5"/>
  <c r="J12" i="5"/>
  <c r="K12" i="5"/>
  <c r="L12" i="5"/>
  <c r="J13" i="5"/>
  <c r="K13" i="5"/>
  <c r="L13" i="5"/>
  <c r="J14" i="5"/>
  <c r="K14" i="5"/>
  <c r="L14" i="5" s="1"/>
  <c r="L9" i="5"/>
  <c r="K9" i="5"/>
  <c r="J9" i="5"/>
  <c r="G10" i="5"/>
  <c r="G11" i="5"/>
  <c r="G12" i="5"/>
  <c r="G13" i="5"/>
  <c r="I13" i="5" s="1"/>
  <c r="G14" i="5"/>
  <c r="G9" i="5"/>
  <c r="F10" i="5"/>
  <c r="H10" i="5"/>
  <c r="I10" i="5"/>
  <c r="F11" i="5"/>
  <c r="H11" i="5"/>
  <c r="F12" i="5"/>
  <c r="H12" i="5"/>
  <c r="F13" i="5"/>
  <c r="H13" i="5"/>
  <c r="F14" i="5"/>
  <c r="H14" i="5"/>
  <c r="I9" i="5"/>
  <c r="H9" i="5"/>
  <c r="F9" i="5"/>
  <c r="C28" i="1"/>
  <c r="B28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11" i="1"/>
  <c r="I12" i="5" l="1"/>
  <c r="I14" i="5"/>
  <c r="I11" i="5"/>
  <c r="C2" i="9"/>
  <c r="C12" i="9" l="1"/>
  <c r="C11" i="9"/>
  <c r="C10" i="9"/>
  <c r="C9" i="9"/>
  <c r="C8" i="9"/>
  <c r="C7" i="9"/>
  <c r="C6" i="9"/>
  <c r="C5" i="9"/>
  <c r="A11" i="1" l="1"/>
  <c r="A12" i="1" l="1"/>
  <c r="C13" i="9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B27" i="1" l="1"/>
  <c r="B29" i="1"/>
  <c r="C27" i="1"/>
  <c r="C29" i="1"/>
</calcChain>
</file>

<file path=xl/sharedStrings.xml><?xml version="1.0" encoding="utf-8"?>
<sst xmlns="http://schemas.openxmlformats.org/spreadsheetml/2006/main" count="162" uniqueCount="141">
  <si>
    <t>Минимальное значение аргумента</t>
  </si>
  <si>
    <t>Максимальное значение аргумента</t>
  </si>
  <si>
    <t>Шаг изменения резульата</t>
  </si>
  <si>
    <t>Искомое значение</t>
  </si>
  <si>
    <t>Расчет выражения на заданном интервале</t>
  </si>
  <si>
    <t>Значение выражения</t>
  </si>
  <si>
    <t>При А = -5</t>
  </si>
  <si>
    <t>При А = 15</t>
  </si>
  <si>
    <t>Аргумент Х</t>
  </si>
  <si>
    <t>Максимальное значение выражения</t>
  </si>
  <si>
    <t>Минимальное значение выражения</t>
  </si>
  <si>
    <t>Количество искомых значений</t>
  </si>
  <si>
    <t>A1</t>
  </si>
  <si>
    <t>A2</t>
  </si>
  <si>
    <t>Константы</t>
  </si>
  <si>
    <t>Код</t>
  </si>
  <si>
    <t>Фио</t>
  </si>
  <si>
    <t>Итого:</t>
  </si>
  <si>
    <t>Дата</t>
  </si>
  <si>
    <t>Наименование продукта</t>
  </si>
  <si>
    <t>Количество, шт</t>
  </si>
  <si>
    <t>Итоговая цена</t>
  </si>
  <si>
    <t>Клавиатура Logitech</t>
  </si>
  <si>
    <t>Накопитель на ЖМД SATA</t>
  </si>
  <si>
    <t>Материнская плата ASRock</t>
  </si>
  <si>
    <t>Корпуc Minitower</t>
  </si>
  <si>
    <t>Модуль памяти Kingston</t>
  </si>
  <si>
    <t>Ноутбук Lenovo</t>
  </si>
  <si>
    <t>Мышь Logitech</t>
  </si>
  <si>
    <t>Мышь Microsoft</t>
  </si>
  <si>
    <t>Монитор Acer</t>
  </si>
  <si>
    <t>Принтер Canon</t>
  </si>
  <si>
    <t>Гарнитура Phillips</t>
  </si>
  <si>
    <t>Наименование товара</t>
  </si>
  <si>
    <t>Цена, $/шт</t>
  </si>
  <si>
    <t>Принтер Acer</t>
  </si>
  <si>
    <t>Материнская плата Asus</t>
  </si>
  <si>
    <t>Дискета Verbatim</t>
  </si>
  <si>
    <t>Алюминий</t>
  </si>
  <si>
    <t>Расчётчик</t>
  </si>
  <si>
    <t>Подоходный налог НДФЛ</t>
  </si>
  <si>
    <t>Пенсионный налог ПФ</t>
  </si>
  <si>
    <t>Больничный лист</t>
  </si>
  <si>
    <t xml:space="preserve">Комова В.Г. </t>
  </si>
  <si>
    <t>Отдел:</t>
  </si>
  <si>
    <t>TK№9</t>
  </si>
  <si>
    <t>Месяц:</t>
  </si>
  <si>
    <t>сентябрь, 2017</t>
  </si>
  <si>
    <t>Кол-во рабочих дней</t>
  </si>
  <si>
    <t>Ведомость начисления з/платы сотрудников</t>
  </si>
  <si>
    <t>Кнопкин Д.Б.</t>
  </si>
  <si>
    <t>Хомзин Г.Д.</t>
  </si>
  <si>
    <t>Рябчикова С.С.</t>
  </si>
  <si>
    <t>Фёдоров М.Я.</t>
  </si>
  <si>
    <t>Топоров Г.Г.</t>
  </si>
  <si>
    <t>Витяев А.К.</t>
  </si>
  <si>
    <t>Оклад</t>
  </si>
  <si>
    <t>Премия</t>
  </si>
  <si>
    <t>Дней по больничному</t>
  </si>
  <si>
    <t>Начислено</t>
  </si>
  <si>
    <t>По рабочим дням</t>
  </si>
  <si>
    <t>По больнчсному</t>
  </si>
  <si>
    <t>Итого</t>
  </si>
  <si>
    <t>НДФЛ</t>
  </si>
  <si>
    <t>ПФ</t>
  </si>
  <si>
    <t>Сумма в выдаче</t>
  </si>
  <si>
    <t>Удержания</t>
  </si>
  <si>
    <t>Название</t>
  </si>
  <si>
    <t>Сокращённое название</t>
  </si>
  <si>
    <t>Период</t>
  </si>
  <si>
    <t>Порядковый номер</t>
  </si>
  <si>
    <t>Группа</t>
  </si>
  <si>
    <t>Семейство химических элементов</t>
  </si>
  <si>
    <t>Атомная масса</t>
  </si>
  <si>
    <t>Электронная конфигурация</t>
  </si>
  <si>
    <t>Водород</t>
  </si>
  <si>
    <t>H</t>
  </si>
  <si>
    <t>Другие неметаллы</t>
  </si>
  <si>
    <t>1s1</t>
  </si>
  <si>
    <t>Гелий</t>
  </si>
  <si>
    <t>He</t>
  </si>
  <si>
    <t>1s2</t>
  </si>
  <si>
    <t>Литий</t>
  </si>
  <si>
    <t>Li</t>
  </si>
  <si>
    <t>[He]2s1</t>
  </si>
  <si>
    <t>Бериллий</t>
  </si>
  <si>
    <t>Be</t>
  </si>
  <si>
    <t>[He]2s2</t>
  </si>
  <si>
    <t>Бор </t>
  </si>
  <si>
    <t>B</t>
  </si>
  <si>
    <t>Полуметаллы </t>
  </si>
  <si>
    <t>[He]2s22p1</t>
  </si>
  <si>
    <t>Углерод</t>
  </si>
  <si>
    <t>C</t>
  </si>
  <si>
    <t>[He]2s22p2</t>
  </si>
  <si>
    <t>Азот</t>
  </si>
  <si>
    <t>N</t>
  </si>
  <si>
    <t>[He]2s22p3</t>
  </si>
  <si>
    <t>Кислород</t>
  </si>
  <si>
    <t>O</t>
  </si>
  <si>
    <t>[He[2s22p4</t>
  </si>
  <si>
    <t>Фтор</t>
  </si>
  <si>
    <t>F</t>
  </si>
  <si>
    <t>[He]2s22p5</t>
  </si>
  <si>
    <t>Неон</t>
  </si>
  <si>
    <t>Ne</t>
  </si>
  <si>
    <t>[He]2s22p6</t>
  </si>
  <si>
    <t>Магний</t>
  </si>
  <si>
    <t>Mg</t>
  </si>
  <si>
    <t>[Ne]3s2</t>
  </si>
  <si>
    <t>Al</t>
  </si>
  <si>
    <t>Постпереходные металлы</t>
  </si>
  <si>
    <t>[Ne]3s23p1</t>
  </si>
  <si>
    <t>Кремний</t>
  </si>
  <si>
    <t>Si</t>
  </si>
  <si>
    <t>[Ne]3s23p2</t>
  </si>
  <si>
    <t>Фосфор</t>
  </si>
  <si>
    <t>P</t>
  </si>
  <si>
    <t>[Ne]3s23p3</t>
  </si>
  <si>
    <t>Щелочной металл</t>
  </si>
  <si>
    <t>Железо</t>
  </si>
  <si>
    <t>Fe</t>
  </si>
  <si>
    <t>Переходный металл</t>
  </si>
  <si>
    <t>[Ar]3d64s2</t>
  </si>
  <si>
    <t>Галоген</t>
  </si>
  <si>
    <t>Инертный газ</t>
  </si>
  <si>
    <t>&lt;6</t>
  </si>
  <si>
    <t>Дата начала турнира</t>
  </si>
  <si>
    <t xml:space="preserve">Номер тура </t>
  </si>
  <si>
    <t>Время</t>
  </si>
  <si>
    <t>Участник A</t>
  </si>
  <si>
    <t>Участник B</t>
  </si>
  <si>
    <t>Счёт</t>
  </si>
  <si>
    <t>Команда 1</t>
  </si>
  <si>
    <t>Команда 2</t>
  </si>
  <si>
    <t>Команда 3</t>
  </si>
  <si>
    <t>Команда 4</t>
  </si>
  <si>
    <t>Команда 5</t>
  </si>
  <si>
    <t>Команда 6</t>
  </si>
  <si>
    <t>Команда 7</t>
  </si>
  <si>
    <t>Команда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</si>
</sst>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Segoe UI"/>
      <family val="2"/>
      <charset val="204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5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rgb="FF3F3F3F"/>
      </right>
      <top style="thick">
        <color rgb="FF3F3F3F"/>
      </top>
      <bottom style="thin">
        <color rgb="FF3F3F3F"/>
      </bottom>
      <diagonal/>
    </border>
    <border>
      <left/>
      <right style="thick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rgb="FF3F3F3F"/>
      </right>
      <top style="thin">
        <color rgb="FF3F3F3F"/>
      </top>
      <bottom/>
      <diagonal/>
    </border>
    <border>
      <left/>
      <right style="thick">
        <color rgb="FF3F3F3F"/>
      </right>
      <top/>
      <bottom/>
      <diagonal/>
    </border>
    <border>
      <left/>
      <right style="thick">
        <color rgb="FF3F3F3F"/>
      </right>
      <top style="medium">
        <color indexed="64"/>
      </top>
      <bottom style="thick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dotted">
        <color indexed="64"/>
      </right>
      <top/>
      <bottom/>
      <diagonal/>
    </border>
    <border>
      <left style="thick">
        <color rgb="FF3F3F3F"/>
      </left>
      <right style="thin">
        <color rgb="FF3F3F3F"/>
      </right>
      <top style="thick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ck">
        <color rgb="FF3F3F3F"/>
      </top>
      <bottom style="thin">
        <color rgb="FF3F3F3F"/>
      </bottom>
      <diagonal/>
    </border>
    <border>
      <left style="thin">
        <color rgb="FF3F3F3F"/>
      </left>
      <right style="thick">
        <color rgb="FF3F3F3F"/>
      </right>
      <top style="thick">
        <color rgb="FF3F3F3F"/>
      </top>
      <bottom style="thin">
        <color rgb="FF3F3F3F"/>
      </bottom>
      <diagonal/>
    </border>
    <border>
      <left style="thick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ck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3F3F3F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rgb="FF3F3F3F"/>
      </right>
      <top/>
      <bottom/>
      <diagonal/>
    </border>
    <border>
      <left style="thick">
        <color rgb="FF3F3F3F"/>
      </left>
      <right/>
      <top style="medium">
        <color indexed="64"/>
      </top>
      <bottom style="thick">
        <color rgb="FF3F3F3F"/>
      </bottom>
      <diagonal/>
    </border>
    <border>
      <left/>
      <right/>
      <top style="medium">
        <color indexed="64"/>
      </top>
      <bottom style="thick">
        <color rgb="FF3F3F3F"/>
      </bottom>
      <diagonal/>
    </border>
    <border>
      <left/>
      <right style="thin">
        <color rgb="FF3F3F3F"/>
      </right>
      <top style="thick">
        <color rgb="FF3F3F3F"/>
      </top>
      <bottom style="thin">
        <color rgb="FF3F3F3F"/>
      </bottom>
      <diagonal/>
    </border>
    <border>
      <left style="dotted">
        <color indexed="64"/>
      </left>
      <right style="thick">
        <color rgb="FF3F3F3F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9" fillId="2" borderId="31" applyNumberFormat="0" applyAlignment="0" applyProtection="0"/>
  </cellStyleXfs>
  <cellXfs count="89">
    <xf numFmtId="0" fontId="0" fillId="0" borderId="0" xfId="0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7" fillId="0" borderId="0" xfId="0" applyFont="1"/>
    <xf numFmtId="0" fontId="0" fillId="0" borderId="10" xfId="0" applyBorder="1"/>
    <xf numFmtId="0" fontId="0" fillId="0" borderId="13" xfId="0" applyBorder="1"/>
    <xf numFmtId="0" fontId="1" fillId="0" borderId="15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0" xfId="0" applyAlignment="1">
      <alignment wrapText="1"/>
    </xf>
    <xf numFmtId="0" fontId="0" fillId="0" borderId="21" xfId="0" applyBorder="1" applyAlignment="1">
      <alignment vertical="top" wrapText="1"/>
    </xf>
    <xf numFmtId="0" fontId="0" fillId="0" borderId="22" xfId="0" applyBorder="1" applyAlignment="1">
      <alignment vertical="center" wrapText="1"/>
    </xf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14" fontId="0" fillId="0" borderId="0" xfId="0" applyNumberFormat="1"/>
    <xf numFmtId="0" fontId="4" fillId="0" borderId="5" xfId="0" applyFont="1" applyBorder="1" applyAlignment="1">
      <alignment vertical="center"/>
    </xf>
    <xf numFmtId="0" fontId="0" fillId="0" borderId="5" xfId="0" applyBorder="1" applyAlignment="1">
      <alignment horizontal="right"/>
    </xf>
    <xf numFmtId="0" fontId="4" fillId="0" borderId="5" xfId="0" applyFont="1" applyBorder="1"/>
    <xf numFmtId="0" fontId="8" fillId="0" borderId="0" xfId="0" applyFont="1"/>
    <xf numFmtId="20" fontId="0" fillId="0" borderId="5" xfId="0" applyNumberFormat="1" applyBorder="1"/>
    <xf numFmtId="9" fontId="0" fillId="0" borderId="8" xfId="0" applyNumberFormat="1" applyBorder="1" applyAlignment="1">
      <alignment vertical="center"/>
    </xf>
    <xf numFmtId="9" fontId="0" fillId="0" borderId="9" xfId="0" applyNumberFormat="1" applyBorder="1" applyAlignment="1">
      <alignment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29" xfId="0" applyNumberFormat="1" applyBorder="1"/>
    <xf numFmtId="0" fontId="0" fillId="0" borderId="29" xfId="0" applyNumberFormat="1" applyBorder="1"/>
    <xf numFmtId="0" fontId="0" fillId="0" borderId="30" xfId="0" applyNumberFormat="1" applyBorder="1"/>
    <xf numFmtId="9" fontId="0" fillId="0" borderId="29" xfId="0" applyNumberFormat="1" applyBorder="1" applyAlignment="1">
      <alignment horizontal="center"/>
    </xf>
    <xf numFmtId="9" fontId="0" fillId="0" borderId="30" xfId="0" applyNumberFormat="1" applyBorder="1" applyAlignment="1">
      <alignment horizontal="center"/>
    </xf>
    <xf numFmtId="2" fontId="0" fillId="0" borderId="33" xfId="0" applyNumberFormat="1" applyBorder="1" applyAlignment="1">
      <alignment horizontal="right"/>
    </xf>
    <xf numFmtId="2" fontId="0" fillId="0" borderId="36" xfId="0" applyNumberFormat="1" applyBorder="1"/>
    <xf numFmtId="2" fontId="0" fillId="0" borderId="37" xfId="0" applyNumberFormat="1" applyBorder="1"/>
    <xf numFmtId="2" fontId="0" fillId="0" borderId="38" xfId="0" applyNumberFormat="1" applyBorder="1" applyAlignment="1">
      <alignment horizontal="right"/>
    </xf>
    <xf numFmtId="0" fontId="9" fillId="2" borderId="31" xfId="3" applyBorder="1" applyAlignment="1">
      <alignment horizontal="center" vertical="center"/>
    </xf>
    <xf numFmtId="0" fontId="9" fillId="2" borderId="40" xfId="3" applyBorder="1" applyAlignment="1">
      <alignment horizontal="center" vertical="center" wrapText="1"/>
    </xf>
    <xf numFmtId="2" fontId="0" fillId="0" borderId="0" xfId="0" applyNumberFormat="1" applyBorder="1"/>
    <xf numFmtId="2" fontId="0" fillId="0" borderId="6" xfId="0" applyNumberFormat="1" applyBorder="1"/>
    <xf numFmtId="2" fontId="0" fillId="0" borderId="41" xfId="0" applyNumberFormat="1" applyBorder="1" applyAlignment="1">
      <alignment horizontal="right"/>
    </xf>
    <xf numFmtId="0" fontId="9" fillId="2" borderId="43" xfId="3" applyBorder="1" applyAlignment="1">
      <alignment horizontal="center" vertical="center" wrapText="1"/>
    </xf>
    <xf numFmtId="2" fontId="0" fillId="0" borderId="44" xfId="0" applyNumberFormat="1" applyBorder="1"/>
    <xf numFmtId="0" fontId="9" fillId="2" borderId="31" xfId="3" applyBorder="1" applyAlignment="1">
      <alignment horizontal="center" vertical="center" wrapText="1"/>
    </xf>
    <xf numFmtId="0" fontId="9" fillId="2" borderId="49" xfId="3" applyBorder="1" applyAlignment="1">
      <alignment horizontal="center" vertical="center" wrapText="1"/>
    </xf>
    <xf numFmtId="2" fontId="0" fillId="0" borderId="51" xfId="0" applyNumberFormat="1" applyBorder="1"/>
    <xf numFmtId="2" fontId="0" fillId="0" borderId="53" xfId="0" applyNumberFormat="1" applyBorder="1" applyAlignment="1">
      <alignment horizontal="right"/>
    </xf>
    <xf numFmtId="0" fontId="0" fillId="0" borderId="0" xfId="0" applyNumberFormat="1" applyBorder="1"/>
    <xf numFmtId="164" fontId="0" fillId="0" borderId="50" xfId="0" applyNumberFormat="1" applyBorder="1"/>
    <xf numFmtId="0" fontId="0" fillId="0" borderId="5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0" xfId="0" applyAlignment="1">
      <alignment horizontal="left" vertical="center"/>
    </xf>
    <xf numFmtId="0" fontId="4" fillId="0" borderId="5" xfId="0" applyFont="1" applyBorder="1" applyAlignment="1">
      <alignment vertical="center" wrapText="1"/>
    </xf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9" fillId="2" borderId="34" xfId="3" applyBorder="1" applyAlignment="1">
      <alignment horizontal="center" vertical="center" wrapText="1"/>
    </xf>
    <xf numFmtId="0" fontId="9" fillId="2" borderId="35" xfId="3" applyBorder="1" applyAlignment="1">
      <alignment horizontal="center" vertical="center" wrapText="1"/>
    </xf>
    <xf numFmtId="0" fontId="9" fillId="2" borderId="42" xfId="3" applyBorder="1" applyAlignment="1">
      <alignment horizontal="center" vertical="center" wrapText="1"/>
    </xf>
    <xf numFmtId="0" fontId="9" fillId="2" borderId="32" xfId="3" applyBorder="1" applyAlignment="1">
      <alignment horizontal="center" vertical="center" wrapText="1"/>
    </xf>
    <xf numFmtId="0" fontId="9" fillId="2" borderId="39" xfId="3" applyBorder="1" applyAlignment="1">
      <alignment horizontal="center" vertical="center" wrapText="1"/>
    </xf>
    <xf numFmtId="0" fontId="0" fillId="0" borderId="52" xfId="0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38" xfId="0" applyBorder="1" applyAlignment="1">
      <alignment horizontal="right"/>
    </xf>
    <xf numFmtId="0" fontId="3" fillId="0" borderId="0" xfId="2" applyBorder="1" applyAlignment="1">
      <alignment horizontal="center" vertical="center"/>
    </xf>
    <xf numFmtId="0" fontId="9" fillId="2" borderId="45" xfId="3" applyBorder="1" applyAlignment="1">
      <alignment horizontal="center" vertical="center" wrapText="1"/>
    </xf>
    <xf numFmtId="0" fontId="9" fillId="2" borderId="48" xfId="3" applyBorder="1" applyAlignment="1">
      <alignment horizontal="center" vertical="center" wrapText="1"/>
    </xf>
    <xf numFmtId="0" fontId="9" fillId="2" borderId="46" xfId="3" applyBorder="1" applyAlignment="1">
      <alignment horizontal="center" vertical="center" wrapText="1"/>
    </xf>
    <xf numFmtId="0" fontId="9" fillId="2" borderId="31" xfId="3" applyBorder="1" applyAlignment="1">
      <alignment horizontal="center" vertical="center" wrapText="1"/>
    </xf>
    <xf numFmtId="0" fontId="9" fillId="2" borderId="47" xfId="3" applyBorder="1" applyAlignment="1">
      <alignment horizontal="center" vertical="center" wrapText="1"/>
    </xf>
    <xf numFmtId="0" fontId="9" fillId="2" borderId="49" xfId="3" applyBorder="1" applyAlignment="1">
      <alignment horizontal="center" vertical="center" wrapText="1"/>
    </xf>
    <xf numFmtId="0" fontId="9" fillId="2" borderId="54" xfId="3" applyBorder="1" applyAlignment="1">
      <alignment horizontal="center" vertical="center" wrapText="1"/>
    </xf>
  </cellXfs>
  <cellStyles count="4">
    <cellStyle name="Heading 1" xfId="1" builtinId="16"/>
    <cellStyle name="Heading 3" xfId="2" builtinId="18"/>
    <cellStyle name="Normal" xfId="0" builtinId="0"/>
    <cellStyle name="Output" xfId="3" builtinId="21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88187553791549"/>
          <c:y val="3.6339610175090846E-2"/>
          <c:w val="0.75006063774548504"/>
          <c:h val="0.662377708237411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'C. Расчет'!$B$9</c:f>
              <c:strCache>
                <c:ptCount val="1"/>
                <c:pt idx="0">
                  <c:v>Кнопкин Д.Б.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'C. Расчет'!$F$8:$H$8</c:f>
              <c:strCache>
                <c:ptCount val="3"/>
                <c:pt idx="0">
                  <c:v>По рабочим дням</c:v>
                </c:pt>
                <c:pt idx="1">
                  <c:v>По больнчсному</c:v>
                </c:pt>
                <c:pt idx="2">
                  <c:v>Премия</c:v>
                </c:pt>
              </c:strCache>
            </c:strRef>
          </c:cat>
          <c:val>
            <c:numRef>
              <c:f>'C. Расчет'!$F$9:$H$9</c:f>
              <c:numCache>
                <c:formatCode>0.00</c:formatCode>
                <c:ptCount val="3"/>
                <c:pt idx="0">
                  <c:v>3980.7692307692305</c:v>
                </c:pt>
                <c:pt idx="1">
                  <c:v>389.42307692307713</c:v>
                </c:pt>
                <c:pt idx="2">
                  <c:v>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2C-4AB5-B1C2-6442AD52026A}"/>
            </c:ext>
          </c:extLst>
        </c:ser>
        <c:ser>
          <c:idx val="1"/>
          <c:order val="1"/>
          <c:tx>
            <c:strRef>
              <c:f>'C. Расчет'!$B$10</c:f>
              <c:strCache>
                <c:ptCount val="1"/>
                <c:pt idx="0">
                  <c:v>Хомзин Г.Д.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'C. Расчет'!$F$8:$H$8</c:f>
              <c:strCache>
                <c:ptCount val="3"/>
                <c:pt idx="0">
                  <c:v>По рабочим дням</c:v>
                </c:pt>
                <c:pt idx="1">
                  <c:v>По больнчсному</c:v>
                </c:pt>
                <c:pt idx="2">
                  <c:v>Премия</c:v>
                </c:pt>
              </c:strCache>
            </c:strRef>
          </c:cat>
          <c:val>
            <c:numRef>
              <c:f>'C. Расчет'!$F$10:$H$10</c:f>
              <c:numCache>
                <c:formatCode>0.00</c:formatCode>
                <c:ptCount val="3"/>
                <c:pt idx="0">
                  <c:v>9000</c:v>
                </c:pt>
                <c:pt idx="1">
                  <c:v>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32C-4AB5-B1C2-6442AD52026A}"/>
            </c:ext>
          </c:extLst>
        </c:ser>
        <c:ser>
          <c:idx val="2"/>
          <c:order val="2"/>
          <c:tx>
            <c:strRef>
              <c:f>'C. Расчет'!$B$11</c:f>
              <c:strCache>
                <c:ptCount val="1"/>
                <c:pt idx="0">
                  <c:v>Рябчикова С.С.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'C. Расчет'!$F$8:$H$8</c:f>
              <c:strCache>
                <c:ptCount val="3"/>
                <c:pt idx="0">
                  <c:v>По рабочим дням</c:v>
                </c:pt>
                <c:pt idx="1">
                  <c:v>По больнчсному</c:v>
                </c:pt>
                <c:pt idx="2">
                  <c:v>Премия</c:v>
                </c:pt>
              </c:strCache>
            </c:strRef>
          </c:cat>
          <c:val>
            <c:numRef>
              <c:f>'C. Расчет'!$F$11:$H$11</c:f>
              <c:numCache>
                <c:formatCode>0.00</c:formatCode>
                <c:ptCount val="3"/>
                <c:pt idx="0">
                  <c:v>3210.4615384615386</c:v>
                </c:pt>
                <c:pt idx="1">
                  <c:v>200.65384615384608</c:v>
                </c:pt>
                <c:pt idx="2">
                  <c:v>1739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32C-4AB5-B1C2-6442AD52026A}"/>
            </c:ext>
          </c:extLst>
        </c:ser>
        <c:ser>
          <c:idx val="3"/>
          <c:order val="3"/>
          <c:tx>
            <c:strRef>
              <c:f>'C. Расчет'!$B$12</c:f>
              <c:strCache>
                <c:ptCount val="1"/>
                <c:pt idx="0">
                  <c:v>Фёдоров М.Я.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'C. Расчет'!$F$8:$H$8</c:f>
              <c:strCache>
                <c:ptCount val="3"/>
                <c:pt idx="0">
                  <c:v>По рабочим дням</c:v>
                </c:pt>
                <c:pt idx="1">
                  <c:v>По больнчсному</c:v>
                </c:pt>
                <c:pt idx="2">
                  <c:v>Премия</c:v>
                </c:pt>
              </c:strCache>
            </c:strRef>
          </c:cat>
          <c:val>
            <c:numRef>
              <c:f>'C. Расчет'!$F$12:$H$12</c:f>
              <c:numCache>
                <c:formatCode>0.00</c:formatCode>
                <c:ptCount val="3"/>
                <c:pt idx="0">
                  <c:v>8176</c:v>
                </c:pt>
                <c:pt idx="1">
                  <c:v>0</c:v>
                </c:pt>
                <c:pt idx="2">
                  <c:v>1553.44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32C-4AB5-B1C2-6442AD52026A}"/>
            </c:ext>
          </c:extLst>
        </c:ser>
        <c:ser>
          <c:idx val="4"/>
          <c:order val="4"/>
          <c:tx>
            <c:strRef>
              <c:f>'C. Расчет'!$B$13</c:f>
              <c:strCache>
                <c:ptCount val="1"/>
                <c:pt idx="0">
                  <c:v>Топоров Г.Г.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'C. Расчет'!$F$8:$H$8</c:f>
              <c:strCache>
                <c:ptCount val="3"/>
                <c:pt idx="0">
                  <c:v>По рабочим дням</c:v>
                </c:pt>
                <c:pt idx="1">
                  <c:v>По больнчсному</c:v>
                </c:pt>
                <c:pt idx="2">
                  <c:v>Премия</c:v>
                </c:pt>
              </c:strCache>
            </c:strRef>
          </c:cat>
          <c:val>
            <c:numRef>
              <c:f>'C. Расчет'!$F$13:$H$13</c:f>
              <c:numCache>
                <c:formatCode>0.00</c:formatCode>
                <c:ptCount val="3"/>
                <c:pt idx="0">
                  <c:v>1867</c:v>
                </c:pt>
                <c:pt idx="1">
                  <c:v>0</c:v>
                </c:pt>
                <c:pt idx="2">
                  <c:v>1680.3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32C-4AB5-B1C2-6442AD52026A}"/>
            </c:ext>
          </c:extLst>
        </c:ser>
        <c:ser>
          <c:idx val="5"/>
          <c:order val="5"/>
          <c:tx>
            <c:strRef>
              <c:f>'C. Расчет'!$B$14</c:f>
              <c:strCache>
                <c:ptCount val="1"/>
                <c:pt idx="0">
                  <c:v>Витяев А.К.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'C. Расчет'!$F$8:$H$8</c:f>
              <c:strCache>
                <c:ptCount val="3"/>
                <c:pt idx="0">
                  <c:v>По рабочим дням</c:v>
                </c:pt>
                <c:pt idx="1">
                  <c:v>По больнчсному</c:v>
                </c:pt>
                <c:pt idx="2">
                  <c:v>Премия</c:v>
                </c:pt>
              </c:strCache>
            </c:strRef>
          </c:cat>
          <c:val>
            <c:numRef>
              <c:f>'C. Расчет'!$F$14:$H$14</c:f>
              <c:numCache>
                <c:formatCode>0.00</c:formatCode>
                <c:ptCount val="3"/>
                <c:pt idx="0">
                  <c:v>5683.1923076923085</c:v>
                </c:pt>
                <c:pt idx="1">
                  <c:v>1570.3557692307686</c:v>
                </c:pt>
                <c:pt idx="2">
                  <c:v>544.3900000000001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32C-4AB5-B1C2-6442AD520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9942136"/>
        <c:axId val="549943120"/>
      </c:barChart>
      <c:catAx>
        <c:axId val="549942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9943120"/>
        <c:crosses val="autoZero"/>
        <c:auto val="1"/>
        <c:lblAlgn val="ctr"/>
        <c:lblOffset val="100"/>
        <c:noMultiLvlLbl val="0"/>
      </c:catAx>
      <c:valAx>
        <c:axId val="54994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994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72879457141028"/>
          <c:y val="0.81732465552806888"/>
          <c:w val="0.52031737902680864"/>
          <c:h val="0.15821491094584436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80010</xdr:rowOff>
    </xdr:from>
    <xdr:to>
      <xdr:col>9</xdr:col>
      <xdr:colOff>213360</xdr:colOff>
      <xdr:row>21</xdr:row>
      <xdr:rowOff>83820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55985B-C3C5-4412-8D59-493E1EE30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30"/>
  <sheetViews>
    <sheetView workbookViewId="0">
      <selection activeCell="B33" sqref="B33"/>
    </sheetView>
  </sheetViews>
  <sheetFormatPr defaultRowHeight="14.4" x14ac:dyDescent="0.3"/>
  <cols>
    <col min="1" max="1" width="16.33203125" customWidth="1"/>
    <col min="2" max="2" width="18.109375" customWidth="1"/>
    <col min="3" max="3" width="20.44140625" customWidth="1"/>
    <col min="4" max="4" width="9.109375" customWidth="1"/>
  </cols>
  <sheetData>
    <row r="1" spans="1:9" x14ac:dyDescent="0.3">
      <c r="A1" s="2"/>
      <c r="B1" s="2"/>
      <c r="C1" s="2"/>
      <c r="D1" s="2"/>
    </row>
    <row r="2" spans="1:9" ht="15.6" x14ac:dyDescent="0.3">
      <c r="A2" s="63" t="s">
        <v>0</v>
      </c>
      <c r="B2" s="64"/>
      <c r="C2" s="65"/>
      <c r="D2" s="18">
        <v>0</v>
      </c>
      <c r="F2" s="62" t="s">
        <v>14</v>
      </c>
      <c r="G2" s="62"/>
    </row>
    <row r="3" spans="1:9" ht="15.6" x14ac:dyDescent="0.3">
      <c r="A3" s="64" t="s">
        <v>1</v>
      </c>
      <c r="B3" s="64"/>
      <c r="C3" s="65"/>
      <c r="D3" s="19">
        <v>30</v>
      </c>
      <c r="F3" s="5" t="s">
        <v>12</v>
      </c>
      <c r="G3" s="5" t="s">
        <v>13</v>
      </c>
    </row>
    <row r="4" spans="1:9" ht="15.6" x14ac:dyDescent="0.3">
      <c r="A4" s="63" t="s">
        <v>2</v>
      </c>
      <c r="B4" s="64"/>
      <c r="C4" s="65"/>
      <c r="D4" s="20">
        <v>2</v>
      </c>
      <c r="F4" s="5">
        <v>1</v>
      </c>
      <c r="G4" s="5">
        <v>2</v>
      </c>
    </row>
    <row r="5" spans="1:9" ht="15.6" x14ac:dyDescent="0.3">
      <c r="A5" s="63" t="s">
        <v>3</v>
      </c>
      <c r="B5" s="64"/>
      <c r="C5" s="65"/>
      <c r="D5" s="21">
        <v>4.4000000000000004</v>
      </c>
      <c r="F5" s="1"/>
      <c r="G5" s="1"/>
      <c r="H5" s="1"/>
    </row>
    <row r="6" spans="1:9" x14ac:dyDescent="0.3">
      <c r="B6" s="1"/>
      <c r="C6" s="1"/>
      <c r="F6" s="1"/>
      <c r="G6" s="1"/>
      <c r="H6" s="1"/>
    </row>
    <row r="7" spans="1:9" ht="18" x14ac:dyDescent="0.35">
      <c r="A7" s="70" t="s">
        <v>4</v>
      </c>
      <c r="B7" s="70"/>
      <c r="C7" s="70"/>
      <c r="D7" s="6"/>
      <c r="E7" s="6"/>
    </row>
    <row r="8" spans="1:9" ht="15" thickBot="1" x14ac:dyDescent="0.35">
      <c r="I8" s="1"/>
    </row>
    <row r="9" spans="1:9" x14ac:dyDescent="0.3">
      <c r="A9" s="66" t="s">
        <v>8</v>
      </c>
      <c r="B9" s="68" t="s">
        <v>5</v>
      </c>
      <c r="C9" s="69"/>
      <c r="I9" s="1"/>
    </row>
    <row r="10" spans="1:9" ht="15" thickBot="1" x14ac:dyDescent="0.35">
      <c r="A10" s="67"/>
      <c r="B10" s="7" t="s">
        <v>7</v>
      </c>
      <c r="C10" s="8" t="s">
        <v>6</v>
      </c>
      <c r="I10" s="1"/>
    </row>
    <row r="11" spans="1:9" ht="15" thickBot="1" x14ac:dyDescent="0.35">
      <c r="A11" s="10">
        <f>D2</f>
        <v>0</v>
      </c>
      <c r="B11" s="9">
        <f>ROUND(SQRT(ABS((SIN($F$4*$A11)/COS($F$4*$A11))^2-$F$4*$A11)), 1)</f>
        <v>0</v>
      </c>
      <c r="C11" s="9">
        <f>ROUND(SQRT(ABS((SIN($G$4*$A11)/COS($G$4*$A11))^2-$G$4*$A11)), 1)</f>
        <v>0</v>
      </c>
    </row>
    <row r="12" spans="1:9" ht="15" thickBot="1" x14ac:dyDescent="0.35">
      <c r="A12" s="11">
        <f>A11+D$4</f>
        <v>2</v>
      </c>
      <c r="B12" s="9">
        <f t="shared" ref="B12:B26" si="0">ROUND(SQRT(ABS((SIN($F$4*$A12)/COS($F$4*$A12))^2-$F$4*$A12)), 1)</f>
        <v>1.7</v>
      </c>
      <c r="C12" s="9">
        <f t="shared" ref="C12:C26" si="1">ROUND(SQRT(ABS((SIN($G$4*$A12)/COS($G$4*$A12))^2-$G$4*$A12)), 1)</f>
        <v>1.6</v>
      </c>
    </row>
    <row r="13" spans="1:9" ht="15" thickBot="1" x14ac:dyDescent="0.35">
      <c r="A13" s="11">
        <f t="shared" ref="A13:A26" si="2">A12+D$4</f>
        <v>4</v>
      </c>
      <c r="B13" s="9">
        <f t="shared" si="0"/>
        <v>1.6</v>
      </c>
      <c r="C13" s="9">
        <f t="shared" si="1"/>
        <v>6.2</v>
      </c>
      <c r="H13" s="1"/>
    </row>
    <row r="14" spans="1:9" ht="15" thickBot="1" x14ac:dyDescent="0.35">
      <c r="A14" s="11">
        <f t="shared" si="2"/>
        <v>6</v>
      </c>
      <c r="B14" s="9">
        <f t="shared" si="0"/>
        <v>2.4</v>
      </c>
      <c r="C14" s="9">
        <f t="shared" si="1"/>
        <v>3.4</v>
      </c>
    </row>
    <row r="15" spans="1:9" ht="15" thickBot="1" x14ac:dyDescent="0.35">
      <c r="A15" s="11">
        <f t="shared" si="2"/>
        <v>8</v>
      </c>
      <c r="B15" s="9">
        <f t="shared" si="0"/>
        <v>6.2</v>
      </c>
      <c r="C15" s="9">
        <f t="shared" si="1"/>
        <v>4</v>
      </c>
    </row>
    <row r="16" spans="1:9" ht="15" thickBot="1" x14ac:dyDescent="0.35">
      <c r="A16" s="11">
        <f t="shared" si="2"/>
        <v>10</v>
      </c>
      <c r="B16" s="9">
        <f t="shared" si="0"/>
        <v>3.1</v>
      </c>
      <c r="C16" s="9">
        <f t="shared" si="1"/>
        <v>3.9</v>
      </c>
    </row>
    <row r="17" spans="1:3" ht="15" thickBot="1" x14ac:dyDescent="0.35">
      <c r="A17" s="11">
        <f t="shared" si="2"/>
        <v>12</v>
      </c>
      <c r="B17" s="9">
        <f t="shared" si="0"/>
        <v>3.4</v>
      </c>
      <c r="C17" s="9">
        <f t="shared" si="1"/>
        <v>4.4000000000000004</v>
      </c>
    </row>
    <row r="18" spans="1:3" ht="15" thickBot="1" x14ac:dyDescent="0.35">
      <c r="A18" s="11">
        <f t="shared" si="2"/>
        <v>14</v>
      </c>
      <c r="B18" s="9">
        <f t="shared" si="0"/>
        <v>6.2</v>
      </c>
      <c r="C18" s="9">
        <f t="shared" si="1"/>
        <v>5.3</v>
      </c>
    </row>
    <row r="19" spans="1:3" ht="15" thickBot="1" x14ac:dyDescent="0.35">
      <c r="A19" s="11">
        <f t="shared" si="2"/>
        <v>16</v>
      </c>
      <c r="B19" s="9">
        <f t="shared" si="0"/>
        <v>4</v>
      </c>
      <c r="C19" s="9">
        <f t="shared" si="1"/>
        <v>5.6</v>
      </c>
    </row>
    <row r="20" spans="1:3" ht="15" thickBot="1" x14ac:dyDescent="0.35">
      <c r="A20" s="11">
        <f t="shared" si="2"/>
        <v>18</v>
      </c>
      <c r="B20" s="9">
        <f t="shared" si="0"/>
        <v>4.0999999999999996</v>
      </c>
      <c r="C20" s="9">
        <f t="shared" si="1"/>
        <v>4.9000000000000004</v>
      </c>
    </row>
    <row r="21" spans="1:3" ht="15" thickBot="1" x14ac:dyDescent="0.35">
      <c r="A21" s="11">
        <f t="shared" si="2"/>
        <v>20</v>
      </c>
      <c r="B21" s="9">
        <f t="shared" si="0"/>
        <v>3.9</v>
      </c>
      <c r="C21" s="9">
        <f t="shared" si="1"/>
        <v>6.2</v>
      </c>
    </row>
    <row r="22" spans="1:3" ht="15" thickBot="1" x14ac:dyDescent="0.35">
      <c r="A22" s="11">
        <f t="shared" si="2"/>
        <v>22</v>
      </c>
      <c r="B22" s="9">
        <f t="shared" si="0"/>
        <v>4.7</v>
      </c>
      <c r="C22" s="9">
        <f t="shared" si="1"/>
        <v>6.6</v>
      </c>
    </row>
    <row r="23" spans="1:3" ht="15" thickBot="1" x14ac:dyDescent="0.35">
      <c r="A23" s="11">
        <f t="shared" si="2"/>
        <v>24</v>
      </c>
      <c r="B23" s="9">
        <f t="shared" si="0"/>
        <v>4.4000000000000004</v>
      </c>
      <c r="C23" s="9">
        <f t="shared" si="1"/>
        <v>6.8</v>
      </c>
    </row>
    <row r="24" spans="1:3" ht="15" thickBot="1" x14ac:dyDescent="0.35">
      <c r="A24" s="11">
        <f t="shared" si="2"/>
        <v>26</v>
      </c>
      <c r="B24" s="9">
        <f t="shared" si="0"/>
        <v>5</v>
      </c>
      <c r="C24" s="9">
        <f t="shared" si="1"/>
        <v>3.9</v>
      </c>
    </row>
    <row r="25" spans="1:3" ht="15" thickBot="1" x14ac:dyDescent="0.35">
      <c r="A25" s="11">
        <f t="shared" si="2"/>
        <v>28</v>
      </c>
      <c r="B25" s="9">
        <f t="shared" si="0"/>
        <v>5.3</v>
      </c>
      <c r="C25" s="9">
        <f t="shared" si="1"/>
        <v>7.5</v>
      </c>
    </row>
    <row r="26" spans="1:3" ht="15" thickBot="1" x14ac:dyDescent="0.35">
      <c r="A26" s="11">
        <f t="shared" si="2"/>
        <v>30</v>
      </c>
      <c r="B26" s="9">
        <f t="shared" si="0"/>
        <v>3.3</v>
      </c>
      <c r="C26" s="9">
        <f t="shared" si="1"/>
        <v>7.7</v>
      </c>
    </row>
    <row r="27" spans="1:3" ht="43.2" x14ac:dyDescent="0.3">
      <c r="A27" s="16" t="s">
        <v>9</v>
      </c>
      <c r="B27" s="17">
        <f>LARGE(B11:B26, 1)</f>
        <v>6.2</v>
      </c>
      <c r="C27" s="17">
        <f>LARGE(C11:C26, 1)</f>
        <v>7.7</v>
      </c>
    </row>
    <row r="28" spans="1:3" ht="47.25" customHeight="1" x14ac:dyDescent="0.3">
      <c r="A28" s="15" t="s">
        <v>10</v>
      </c>
      <c r="B28" s="3">
        <f>SMALL(B11:B26, 1)</f>
        <v>0</v>
      </c>
      <c r="C28" s="3">
        <f>SMALL(C11:C26, 1)</f>
        <v>0</v>
      </c>
    </row>
    <row r="29" spans="1:3" ht="50.25" customHeight="1" thickBot="1" x14ac:dyDescent="0.35">
      <c r="A29" s="12" t="s">
        <v>11</v>
      </c>
      <c r="B29" s="13">
        <f>COUNTIF(B11:B26,D5)</f>
        <v>1</v>
      </c>
      <c r="C29" s="13">
        <f>COUNTIF(C11:C26,D5)</f>
        <v>1</v>
      </c>
    </row>
    <row r="30" spans="1:3" s="14" customFormat="1" ht="15.6" customHeight="1" x14ac:dyDescent="0.3"/>
  </sheetData>
  <mergeCells count="8">
    <mergeCell ref="F2:G2"/>
    <mergeCell ref="A4:C4"/>
    <mergeCell ref="A5:C5"/>
    <mergeCell ref="A9:A10"/>
    <mergeCell ref="B9:C9"/>
    <mergeCell ref="A2:C2"/>
    <mergeCell ref="A3:C3"/>
    <mergeCell ref="A7:C7"/>
  </mergeCells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4"/>
  <sheetViews>
    <sheetView workbookViewId="0">
      <selection activeCell="E8" sqref="E8"/>
    </sheetView>
  </sheetViews>
  <sheetFormatPr defaultRowHeight="14.4" x14ac:dyDescent="0.3"/>
  <cols>
    <col min="4" max="4" width="11.5546875" customWidth="1"/>
  </cols>
  <sheetData>
    <row r="1" spans="1:4" x14ac:dyDescent="0.3">
      <c r="A1" s="71" t="s">
        <v>39</v>
      </c>
      <c r="B1" s="71"/>
      <c r="C1" s="71"/>
      <c r="D1" s="4" t="s">
        <v>43</v>
      </c>
    </row>
    <row r="2" spans="1:4" ht="16.8" customHeight="1" x14ac:dyDescent="0.3">
      <c r="A2" s="72" t="s">
        <v>40</v>
      </c>
      <c r="B2" s="72"/>
      <c r="C2" s="72"/>
      <c r="D2" s="30">
        <v>0.13</v>
      </c>
    </row>
    <row r="3" spans="1:4" ht="18" customHeight="1" x14ac:dyDescent="0.3">
      <c r="A3" s="72" t="s">
        <v>41</v>
      </c>
      <c r="B3" s="72"/>
      <c r="C3" s="72"/>
      <c r="D3" s="30">
        <v>0.01</v>
      </c>
    </row>
    <row r="4" spans="1:4" ht="16.8" customHeight="1" thickBot="1" x14ac:dyDescent="0.35">
      <c r="A4" s="72" t="s">
        <v>42</v>
      </c>
      <c r="B4" s="72"/>
      <c r="C4" s="72"/>
      <c r="D4" s="31">
        <v>0.75</v>
      </c>
    </row>
  </sheetData>
  <mergeCells count="4">
    <mergeCell ref="A1:C1"/>
    <mergeCell ref="A2:C2"/>
    <mergeCell ref="A3:C3"/>
    <mergeCell ref="A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6"/>
  <sheetViews>
    <sheetView workbookViewId="0">
      <selection activeCell="F13" sqref="F13"/>
    </sheetView>
  </sheetViews>
  <sheetFormatPr defaultRowHeight="14.4" x14ac:dyDescent="0.3"/>
  <cols>
    <col min="1" max="1" width="19.21875" customWidth="1"/>
    <col min="2" max="2" width="18.109375" customWidth="1"/>
    <col min="3" max="3" width="13.33203125" customWidth="1"/>
    <col min="5" max="5" width="12.44140625" customWidth="1"/>
    <col min="6" max="6" width="10.6640625" customWidth="1"/>
    <col min="7" max="7" width="13.44140625" customWidth="1"/>
    <col min="8" max="8" width="11.109375" customWidth="1"/>
    <col min="9" max="9" width="10.88671875" customWidth="1"/>
    <col min="10" max="10" width="9.44140625" customWidth="1"/>
    <col min="11" max="11" width="7.77734375" customWidth="1"/>
  </cols>
  <sheetData>
    <row r="1" spans="1:13" s="14" customFormat="1" ht="17.25" customHeight="1" x14ac:dyDescent="0.3">
      <c r="A1" s="14" t="s">
        <v>44</v>
      </c>
      <c r="B1" s="32" t="s">
        <v>45</v>
      </c>
    </row>
    <row r="2" spans="1:13" x14ac:dyDescent="0.3">
      <c r="A2" t="s">
        <v>46</v>
      </c>
      <c r="B2" s="33" t="s">
        <v>47</v>
      </c>
    </row>
    <row r="3" spans="1:13" x14ac:dyDescent="0.3">
      <c r="A3" t="s">
        <v>48</v>
      </c>
      <c r="B3" s="34">
        <v>26</v>
      </c>
    </row>
    <row r="5" spans="1:13" ht="16.2" customHeight="1" x14ac:dyDescent="0.3">
      <c r="A5" s="81" t="s">
        <v>49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</row>
    <row r="6" spans="1:13" ht="15" thickBot="1" x14ac:dyDescent="0.35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</row>
    <row r="7" spans="1:13" ht="44.4" customHeight="1" thickTop="1" x14ac:dyDescent="0.3">
      <c r="A7" s="82" t="s">
        <v>15</v>
      </c>
      <c r="B7" s="84" t="s">
        <v>16</v>
      </c>
      <c r="C7" s="84" t="s">
        <v>56</v>
      </c>
      <c r="D7" s="84" t="s">
        <v>57</v>
      </c>
      <c r="E7" s="86" t="s">
        <v>58</v>
      </c>
      <c r="F7" s="88" t="s">
        <v>59</v>
      </c>
      <c r="G7" s="84"/>
      <c r="H7" s="84"/>
      <c r="I7" s="86"/>
      <c r="J7" s="75" t="s">
        <v>66</v>
      </c>
      <c r="K7" s="76"/>
      <c r="L7" s="77"/>
      <c r="M7" s="73" t="s">
        <v>65</v>
      </c>
    </row>
    <row r="8" spans="1:13" ht="43.2" x14ac:dyDescent="0.3">
      <c r="A8" s="83"/>
      <c r="B8" s="85"/>
      <c r="C8" s="85"/>
      <c r="D8" s="85"/>
      <c r="E8" s="87"/>
      <c r="F8" s="49" t="s">
        <v>60</v>
      </c>
      <c r="G8" s="51" t="s">
        <v>61</v>
      </c>
      <c r="H8" s="51" t="s">
        <v>57</v>
      </c>
      <c r="I8" s="52" t="s">
        <v>62</v>
      </c>
      <c r="J8" s="49" t="s">
        <v>63</v>
      </c>
      <c r="K8" s="44" t="s">
        <v>64</v>
      </c>
      <c r="L8" s="45" t="s">
        <v>62</v>
      </c>
      <c r="M8" s="74"/>
    </row>
    <row r="9" spans="1:13" x14ac:dyDescent="0.3">
      <c r="A9" s="56">
        <v>7</v>
      </c>
      <c r="B9" s="22" t="s">
        <v>50</v>
      </c>
      <c r="C9" s="55">
        <v>4500</v>
      </c>
      <c r="D9" s="38">
        <v>0.47</v>
      </c>
      <c r="E9" s="57">
        <v>3</v>
      </c>
      <c r="F9" s="50">
        <f>$C9/$B$3*($B$3-$E9)</f>
        <v>3980.7692307692305</v>
      </c>
      <c r="G9" s="35">
        <f>($C9-$F9)*'C. Справочник'!$D$4</f>
        <v>389.42307692307713</v>
      </c>
      <c r="H9" s="35">
        <f>$C9*$D9</f>
        <v>2115</v>
      </c>
      <c r="I9" s="53">
        <f>SUM(F9:H9)</f>
        <v>6485.1923076923076</v>
      </c>
      <c r="J9" s="50">
        <f>$I9*'C. Справочник'!$D$2</f>
        <v>843.07500000000005</v>
      </c>
      <c r="K9" s="46">
        <f>$I9*'C. Справочник'!$D$3</f>
        <v>64.851923076923072</v>
      </c>
      <c r="L9" s="47">
        <f>SUM($J9,$K9)</f>
        <v>907.92692307692312</v>
      </c>
      <c r="M9" s="41">
        <f>$I9-$L9</f>
        <v>5577.2653846153844</v>
      </c>
    </row>
    <row r="10" spans="1:13" x14ac:dyDescent="0.3">
      <c r="A10" s="56">
        <v>9</v>
      </c>
      <c r="B10" s="22" t="s">
        <v>51</v>
      </c>
      <c r="C10" s="36">
        <v>9000</v>
      </c>
      <c r="D10" s="38">
        <v>0.01</v>
      </c>
      <c r="E10" s="57"/>
      <c r="F10" s="50">
        <f t="shared" ref="F10:F14" si="0">$C10/$B$3*($B$3-$E10)</f>
        <v>9000</v>
      </c>
      <c r="G10" s="35">
        <f>($C10-$F10)*'C. Справочник'!$D$4</f>
        <v>0</v>
      </c>
      <c r="H10" s="35">
        <f t="shared" ref="H10:H14" si="1">$C10*$D10</f>
        <v>90</v>
      </c>
      <c r="I10" s="53">
        <f t="shared" ref="I10:I14" si="2">SUM(F10:H10)</f>
        <v>9090</v>
      </c>
      <c r="J10" s="50">
        <f>$I10*'C. Справочник'!$D$2</f>
        <v>1181.7</v>
      </c>
      <c r="K10" s="46">
        <f>$I10*'C. Справочник'!$D$3</f>
        <v>90.9</v>
      </c>
      <c r="L10" s="47">
        <f t="shared" ref="L10:L14" si="3">SUM($J10,$K10)</f>
        <v>1272.6000000000001</v>
      </c>
      <c r="M10" s="42">
        <f t="shared" ref="M10:M14" si="4">$I10-$L10</f>
        <v>7817.4</v>
      </c>
    </row>
    <row r="11" spans="1:13" x14ac:dyDescent="0.3">
      <c r="A11" s="56">
        <v>36</v>
      </c>
      <c r="B11" s="22" t="s">
        <v>52</v>
      </c>
      <c r="C11" s="55">
        <v>3478</v>
      </c>
      <c r="D11" s="38">
        <v>0.5</v>
      </c>
      <c r="E11" s="57">
        <v>2</v>
      </c>
      <c r="F11" s="50">
        <f t="shared" si="0"/>
        <v>3210.4615384615386</v>
      </c>
      <c r="G11" s="35">
        <f>($C11-$F11)*'C. Справочник'!$D$4</f>
        <v>200.65384615384608</v>
      </c>
      <c r="H11" s="35">
        <f t="shared" si="1"/>
        <v>1739</v>
      </c>
      <c r="I11" s="53">
        <f t="shared" si="2"/>
        <v>5150.1153846153848</v>
      </c>
      <c r="J11" s="50">
        <f>$I11*'C. Справочник'!$D$2</f>
        <v>669.51499999999999</v>
      </c>
      <c r="K11" s="46">
        <f>$I11*'C. Справочник'!$D$3</f>
        <v>51.501153846153848</v>
      </c>
      <c r="L11" s="47">
        <f t="shared" si="3"/>
        <v>721.01615384615388</v>
      </c>
      <c r="M11" s="42">
        <f t="shared" si="4"/>
        <v>4429.0992307692304</v>
      </c>
    </row>
    <row r="12" spans="1:13" x14ac:dyDescent="0.3">
      <c r="A12" s="56">
        <v>106</v>
      </c>
      <c r="B12" s="22" t="s">
        <v>53</v>
      </c>
      <c r="C12" s="36">
        <v>8176</v>
      </c>
      <c r="D12" s="38">
        <v>0.19</v>
      </c>
      <c r="E12" s="57"/>
      <c r="F12" s="50">
        <f t="shared" si="0"/>
        <v>8176</v>
      </c>
      <c r="G12" s="35">
        <f>($C12-$F12)*'C. Справочник'!$D$4</f>
        <v>0</v>
      </c>
      <c r="H12" s="35">
        <f t="shared" si="1"/>
        <v>1553.44</v>
      </c>
      <c r="I12" s="53">
        <f t="shared" si="2"/>
        <v>9729.44</v>
      </c>
      <c r="J12" s="50">
        <f>$I12*'C. Справочник'!$D$2</f>
        <v>1264.8272000000002</v>
      </c>
      <c r="K12" s="46">
        <f>$I12*'C. Справочник'!$D$3</f>
        <v>97.29440000000001</v>
      </c>
      <c r="L12" s="47">
        <f t="shared" si="3"/>
        <v>1362.1216000000002</v>
      </c>
      <c r="M12" s="42">
        <f t="shared" si="4"/>
        <v>8367.3184000000001</v>
      </c>
    </row>
    <row r="13" spans="1:13" x14ac:dyDescent="0.3">
      <c r="A13" s="56">
        <v>356</v>
      </c>
      <c r="B13" s="22" t="s">
        <v>54</v>
      </c>
      <c r="C13" s="36">
        <v>1867</v>
      </c>
      <c r="D13" s="38">
        <v>0.9</v>
      </c>
      <c r="E13" s="57"/>
      <c r="F13" s="50">
        <f t="shared" si="0"/>
        <v>1867</v>
      </c>
      <c r="G13" s="35">
        <f>($C13-$F13)*'C. Справочник'!$D$4</f>
        <v>0</v>
      </c>
      <c r="H13" s="35">
        <f t="shared" si="1"/>
        <v>1680.3</v>
      </c>
      <c r="I13" s="53">
        <f t="shared" si="2"/>
        <v>3547.3</v>
      </c>
      <c r="J13" s="50">
        <f>$I13*'C. Справочник'!$D$2</f>
        <v>461.14900000000006</v>
      </c>
      <c r="K13" s="46">
        <f>$I13*'C. Справочник'!$D$3</f>
        <v>35.473000000000006</v>
      </c>
      <c r="L13" s="47">
        <f t="shared" si="3"/>
        <v>496.62200000000007</v>
      </c>
      <c r="M13" s="42">
        <f t="shared" si="4"/>
        <v>3050.6779999999999</v>
      </c>
    </row>
    <row r="14" spans="1:13" ht="15" thickBot="1" x14ac:dyDescent="0.35">
      <c r="A14" s="56">
        <v>777</v>
      </c>
      <c r="B14" s="23" t="s">
        <v>55</v>
      </c>
      <c r="C14" s="37">
        <v>7777</v>
      </c>
      <c r="D14" s="39">
        <v>7.0000000000000007E-2</v>
      </c>
      <c r="E14" s="58">
        <v>7</v>
      </c>
      <c r="F14" s="50">
        <f t="shared" si="0"/>
        <v>5683.1923076923085</v>
      </c>
      <c r="G14" s="35">
        <f>($C14-$F14)*'C. Справочник'!$D$4</f>
        <v>1570.3557692307686</v>
      </c>
      <c r="H14" s="35">
        <f t="shared" si="1"/>
        <v>544.3900000000001</v>
      </c>
      <c r="I14" s="53">
        <f t="shared" si="2"/>
        <v>7797.9380769230775</v>
      </c>
      <c r="J14" s="50">
        <f>$I14*'C. Справочник'!$D$2</f>
        <v>1013.7319500000001</v>
      </c>
      <c r="K14" s="46">
        <f>$I14*'C. Справочник'!$D$3</f>
        <v>77.979380769230772</v>
      </c>
      <c r="L14" s="47">
        <f t="shared" si="3"/>
        <v>1091.7113307692309</v>
      </c>
      <c r="M14" s="42">
        <f t="shared" si="4"/>
        <v>6706.2267461538468</v>
      </c>
    </row>
    <row r="15" spans="1:13" ht="15" thickBot="1" x14ac:dyDescent="0.35">
      <c r="A15" s="78" t="s">
        <v>17</v>
      </c>
      <c r="B15" s="79"/>
      <c r="C15" s="79"/>
      <c r="D15" s="79"/>
      <c r="E15" s="80"/>
      <c r="F15" s="54">
        <f>SUM(F9:F14)</f>
        <v>31917.423076923078</v>
      </c>
      <c r="G15" s="54">
        <f t="shared" ref="G15:M15" si="5">SUM(G9:G14)</f>
        <v>2160.4326923076919</v>
      </c>
      <c r="H15" s="54">
        <f t="shared" si="5"/>
        <v>7722.130000000001</v>
      </c>
      <c r="I15" s="43">
        <f t="shared" si="5"/>
        <v>41799.985769230778</v>
      </c>
      <c r="J15" s="40">
        <f t="shared" si="5"/>
        <v>5433.9981500000004</v>
      </c>
      <c r="K15" s="40">
        <f t="shared" si="5"/>
        <v>417.99985769230773</v>
      </c>
      <c r="L15" s="48">
        <f t="shared" si="5"/>
        <v>5851.9980076923084</v>
      </c>
      <c r="M15" s="43">
        <f t="shared" si="5"/>
        <v>35947.987761538461</v>
      </c>
    </row>
    <row r="16" spans="1:13" ht="15" thickTop="1" x14ac:dyDescent="0.3"/>
  </sheetData>
  <mergeCells count="10">
    <mergeCell ref="M7:M8"/>
    <mergeCell ref="J7:L7"/>
    <mergeCell ref="A15:E15"/>
    <mergeCell ref="A5:M6"/>
    <mergeCell ref="A7:A8"/>
    <mergeCell ref="B7:B8"/>
    <mergeCell ref="C7:C8"/>
    <mergeCell ref="D7:D8"/>
    <mergeCell ref="E7:E8"/>
    <mergeCell ref="F7:I7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"/>
  <sheetViews>
    <sheetView workbookViewId="0">
      <selection activeCell="N19" sqref="N1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2333-448F-4920-86B0-225EDAC3EDAE}">
  <sheetPr codeName="Sheet1"/>
  <dimension ref="A1:H21"/>
  <sheetViews>
    <sheetView tabSelected="1" workbookViewId="0">
      <selection activeCell="A13" sqref="A13"/>
    </sheetView>
  </sheetViews>
  <sheetFormatPr defaultRowHeight="14.4" outlineLevelCol="2" x14ac:dyDescent="0.3"/>
  <cols>
    <col min="1" max="1" width="15.21875" customWidth="1"/>
    <col min="2" max="2" width="22" customWidth="1"/>
    <col min="3" max="3" width="10.109375" customWidth="1"/>
    <col min="4" max="4" width="18.77734375" customWidth="1" outlineLevel="1"/>
    <col min="5" max="5" width="8.88671875" customWidth="1" outlineLevel="1"/>
    <col min="6" max="6" width="32.21875" customWidth="1" outlineLevel="2"/>
    <col min="7" max="7" width="14.77734375" customWidth="1" outlineLevel="2"/>
    <col min="8" max="8" width="24.88671875" customWidth="1"/>
  </cols>
  <sheetData>
    <row r="1" spans="1:8" ht="21.6" customHeight="1" x14ac:dyDescent="0.3">
      <c r="A1" s="59" t="s">
        <v>67</v>
      </c>
      <c r="B1" s="59" t="s">
        <v>68</v>
      </c>
      <c r="C1" s="59" t="s">
        <v>69</v>
      </c>
      <c r="D1" s="59" t="s">
        <v>70</v>
      </c>
      <c r="E1" s="59" t="s">
        <v>71</v>
      </c>
      <c r="F1" s="59" t="s">
        <v>72</v>
      </c>
      <c r="G1" s="59" t="s">
        <v>73</v>
      </c>
      <c r="H1" s="59" t="s">
        <v>74</v>
      </c>
    </row>
    <row r="2" spans="1:8" x14ac:dyDescent="0.3">
      <c r="A2" s="59" t="s">
        <v>75</v>
      </c>
      <c r="B2" s="59" t="s">
        <v>76</v>
      </c>
      <c r="C2" s="59">
        <v>1</v>
      </c>
      <c r="D2" s="59">
        <v>1</v>
      </c>
      <c r="E2" s="59">
        <v>1</v>
      </c>
      <c r="F2" s="59" t="s">
        <v>77</v>
      </c>
      <c r="G2" s="59">
        <v>1.008</v>
      </c>
      <c r="H2" s="59" t="s">
        <v>78</v>
      </c>
    </row>
    <row r="3" spans="1:8" x14ac:dyDescent="0.3">
      <c r="A3" s="59" t="s">
        <v>79</v>
      </c>
      <c r="B3" s="59" t="s">
        <v>80</v>
      </c>
      <c r="C3" s="59">
        <v>1</v>
      </c>
      <c r="D3" s="59">
        <v>2</v>
      </c>
      <c r="E3" s="59">
        <v>18</v>
      </c>
      <c r="F3" s="59" t="s">
        <v>125</v>
      </c>
      <c r="G3" s="59">
        <v>4.0030000000000001</v>
      </c>
      <c r="H3" s="59" t="s">
        <v>81</v>
      </c>
    </row>
    <row r="4" spans="1:8" x14ac:dyDescent="0.3">
      <c r="A4" s="59" t="s">
        <v>85</v>
      </c>
      <c r="B4" s="59" t="s">
        <v>86</v>
      </c>
      <c r="C4" s="59">
        <v>2</v>
      </c>
      <c r="D4" s="59">
        <v>4</v>
      </c>
      <c r="E4" s="59">
        <v>2</v>
      </c>
      <c r="F4" s="59" t="s">
        <v>119</v>
      </c>
      <c r="G4" s="59">
        <v>9.0120000000000005</v>
      </c>
      <c r="H4" s="59" t="s">
        <v>87</v>
      </c>
    </row>
    <row r="5" spans="1:8" x14ac:dyDescent="0.3">
      <c r="A5" s="59" t="s">
        <v>88</v>
      </c>
      <c r="B5" s="59" t="s">
        <v>89</v>
      </c>
      <c r="C5" s="59">
        <v>2</v>
      </c>
      <c r="D5" s="59">
        <v>5</v>
      </c>
      <c r="E5" s="59">
        <v>13</v>
      </c>
      <c r="F5" s="59" t="s">
        <v>90</v>
      </c>
      <c r="G5" s="59">
        <v>10.805999999999999</v>
      </c>
      <c r="H5" s="59" t="s">
        <v>91</v>
      </c>
    </row>
    <row r="6" spans="1:8" x14ac:dyDescent="0.3">
      <c r="A6" s="59" t="s">
        <v>92</v>
      </c>
      <c r="B6" s="59" t="s">
        <v>93</v>
      </c>
      <c r="C6" s="59">
        <v>2</v>
      </c>
      <c r="D6" s="59">
        <v>6</v>
      </c>
      <c r="E6" s="59">
        <v>14</v>
      </c>
      <c r="F6" s="59" t="s">
        <v>77</v>
      </c>
      <c r="G6" s="59">
        <v>13</v>
      </c>
      <c r="H6" s="59" t="s">
        <v>94</v>
      </c>
    </row>
    <row r="7" spans="1:8" x14ac:dyDescent="0.3">
      <c r="A7" s="59" t="s">
        <v>95</v>
      </c>
      <c r="B7" s="59" t="s">
        <v>96</v>
      </c>
      <c r="C7" s="59">
        <v>2</v>
      </c>
      <c r="D7" s="59">
        <v>7</v>
      </c>
      <c r="E7" s="59">
        <v>15</v>
      </c>
      <c r="F7" s="59" t="s">
        <v>77</v>
      </c>
      <c r="G7" s="59">
        <v>14.006</v>
      </c>
      <c r="H7" s="59" t="s">
        <v>97</v>
      </c>
    </row>
    <row r="8" spans="1:8" x14ac:dyDescent="0.3">
      <c r="A8" s="59" t="s">
        <v>98</v>
      </c>
      <c r="B8" s="59" t="s">
        <v>99</v>
      </c>
      <c r="C8" s="59">
        <v>2</v>
      </c>
      <c r="D8" s="59">
        <v>8</v>
      </c>
      <c r="E8" s="59">
        <v>16</v>
      </c>
      <c r="F8" s="59" t="s">
        <v>77</v>
      </c>
      <c r="G8" s="59">
        <v>16</v>
      </c>
      <c r="H8" s="59" t="s">
        <v>100</v>
      </c>
    </row>
    <row r="9" spans="1:8" x14ac:dyDescent="0.3">
      <c r="A9" s="59" t="s">
        <v>101</v>
      </c>
      <c r="B9" s="59" t="s">
        <v>102</v>
      </c>
      <c r="C9" s="59">
        <v>2</v>
      </c>
      <c r="D9" s="59">
        <v>9</v>
      </c>
      <c r="E9" s="59">
        <v>17</v>
      </c>
      <c r="F9" s="59" t="s">
        <v>124</v>
      </c>
      <c r="G9" s="59">
        <v>18.998000000000001</v>
      </c>
      <c r="H9" s="59" t="s">
        <v>103</v>
      </c>
    </row>
    <row r="10" spans="1:8" x14ac:dyDescent="0.3">
      <c r="A10" s="59" t="s">
        <v>104</v>
      </c>
      <c r="B10" s="59" t="s">
        <v>105</v>
      </c>
      <c r="C10" s="59">
        <v>2</v>
      </c>
      <c r="D10" s="59">
        <v>10</v>
      </c>
      <c r="E10" s="59">
        <v>18</v>
      </c>
      <c r="F10" s="59" t="s">
        <v>125</v>
      </c>
      <c r="G10" s="59">
        <v>20.18</v>
      </c>
      <c r="H10" s="59" t="s">
        <v>106</v>
      </c>
    </row>
    <row r="11" spans="1:8" x14ac:dyDescent="0.3">
      <c r="A11" s="59" t="s">
        <v>107</v>
      </c>
      <c r="B11" s="59" t="s">
        <v>108</v>
      </c>
      <c r="C11" s="59">
        <v>3</v>
      </c>
      <c r="D11" s="59">
        <v>12</v>
      </c>
      <c r="E11" s="59">
        <v>2</v>
      </c>
      <c r="F11" s="59" t="s">
        <v>119</v>
      </c>
      <c r="G11" s="59">
        <v>24.303999999999998</v>
      </c>
      <c r="H11" s="59" t="s">
        <v>109</v>
      </c>
    </row>
    <row r="12" spans="1:8" x14ac:dyDescent="0.3">
      <c r="A12" s="59" t="s">
        <v>38</v>
      </c>
      <c r="B12" s="59" t="s">
        <v>110</v>
      </c>
      <c r="C12" s="59">
        <v>3</v>
      </c>
      <c r="D12" s="59">
        <v>13</v>
      </c>
      <c r="E12" s="59">
        <v>13</v>
      </c>
      <c r="F12" s="59" t="s">
        <v>111</v>
      </c>
      <c r="G12" s="59">
        <v>26.981999999999999</v>
      </c>
      <c r="H12" s="59" t="s">
        <v>112</v>
      </c>
    </row>
    <row r="13" spans="1:8" x14ac:dyDescent="0.3">
      <c r="A13" s="59" t="s">
        <v>113</v>
      </c>
      <c r="B13" s="59" t="s">
        <v>114</v>
      </c>
      <c r="C13" s="59">
        <v>3</v>
      </c>
      <c r="D13" s="59">
        <v>14</v>
      </c>
      <c r="E13" s="59">
        <v>14</v>
      </c>
      <c r="F13" s="59" t="s">
        <v>90</v>
      </c>
      <c r="G13" s="59">
        <v>28.085999999999999</v>
      </c>
      <c r="H13" s="59" t="s">
        <v>115</v>
      </c>
    </row>
    <row r="14" spans="1:8" x14ac:dyDescent="0.3">
      <c r="A14" s="59" t="s">
        <v>116</v>
      </c>
      <c r="B14" s="59" t="s">
        <v>117</v>
      </c>
      <c r="C14" s="59">
        <v>3</v>
      </c>
      <c r="D14" s="59">
        <v>15</v>
      </c>
      <c r="E14" s="59">
        <v>15</v>
      </c>
      <c r="F14" s="59" t="s">
        <v>77</v>
      </c>
      <c r="G14" s="59">
        <v>30.974</v>
      </c>
      <c r="H14" s="59" t="s">
        <v>118</v>
      </c>
    </row>
    <row r="15" spans="1:8" ht="13.8" customHeight="1" x14ac:dyDescent="0.3">
      <c r="A15" s="59" t="s">
        <v>120</v>
      </c>
      <c r="B15" s="59" t="s">
        <v>121</v>
      </c>
      <c r="C15" s="59">
        <v>4</v>
      </c>
      <c r="D15" s="59">
        <v>26</v>
      </c>
      <c r="E15" s="59">
        <v>8</v>
      </c>
      <c r="F15" s="59" t="s">
        <v>122</v>
      </c>
      <c r="G15" s="59">
        <v>55.844999999999999</v>
      </c>
      <c r="H15" s="59" t="s">
        <v>123</v>
      </c>
    </row>
    <row r="16" spans="1:8" x14ac:dyDescent="0.3">
      <c r="A16" s="59" t="s">
        <v>82</v>
      </c>
      <c r="B16" s="59" t="s">
        <v>83</v>
      </c>
      <c r="C16" s="59">
        <v>2</v>
      </c>
      <c r="D16" s="59">
        <v>3</v>
      </c>
      <c r="E16" s="59">
        <v>1</v>
      </c>
      <c r="F16" s="59" t="s">
        <v>119</v>
      </c>
      <c r="G16" s="59">
        <v>6.9379999999999997</v>
      </c>
      <c r="H16" s="59" t="s">
        <v>84</v>
      </c>
    </row>
    <row r="17" spans="1:8" x14ac:dyDescent="0.3">
      <c r="A17" s="59"/>
      <c r="B17" s="59"/>
      <c r="C17" s="59"/>
      <c r="D17" s="59"/>
      <c r="E17" s="59"/>
      <c r="F17" s="59"/>
      <c r="G17" s="59"/>
      <c r="H17" s="59"/>
    </row>
    <row r="20" spans="1:8" x14ac:dyDescent="0.3">
      <c r="A20" s="59" t="s">
        <v>69</v>
      </c>
      <c r="B20" s="59" t="s">
        <v>70</v>
      </c>
    </row>
    <row r="21" spans="1:8" x14ac:dyDescent="0.3">
      <c r="A21">
        <v>2</v>
      </c>
      <c r="B21" t="s">
        <v>126</v>
      </c>
    </row>
  </sheetData>
  <autoFilter ref="A1:H16" xr:uid="{E69E90D9-422F-4A81-8F36-7E8CBBA8D265}"/>
  <dataConsolidate/>
  <dataValidations count="4">
    <dataValidation type="textLength" showInputMessage="1" showErrorMessage="1" sqref="H1:H1048576" xr:uid="{FB02765B-2565-4932-9F0F-BBD762F9A895}">
      <formula1>0</formula1>
      <formula2>20</formula2>
    </dataValidation>
    <dataValidation type="whole" showInputMessage="1" showErrorMessage="1" sqref="E1:E1048576" xr:uid="{7BA45052-F503-44A5-93C2-7A71E97D1717}">
      <formula1>1</formula1>
      <formula2>100</formula2>
    </dataValidation>
    <dataValidation type="custom" showInputMessage="1" showErrorMessage="1" sqref="D1:D1048576" xr:uid="{F722F6E6-30FB-4E2E-BEA3-238E59A99990}">
      <formula1>IF(C1=2,AND(D1&gt;=3,D1&lt;=10),IF(C1=3,AND(D1&gt;=11,D1&lt;=18)))</formula1>
    </dataValidation>
    <dataValidation type="list" showInputMessage="1" showErrorMessage="1" sqref="A1:A1048576" xr:uid="{F5B0D072-21DA-47E5-BD7D-9AB12AA3E593}">
      <formula1>$A$2:$A$16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17"/>
  <sheetViews>
    <sheetView workbookViewId="0">
      <selection activeCell="C1" sqref="C1:C4"/>
    </sheetView>
  </sheetViews>
  <sheetFormatPr defaultRowHeight="14.4" x14ac:dyDescent="0.3"/>
  <cols>
    <col min="1" max="1" width="27.6640625" customWidth="1"/>
    <col min="2" max="2" width="18.109375" customWidth="1"/>
    <col min="3" max="3" width="18" customWidth="1"/>
    <col min="6" max="6" width="11.33203125" bestFit="1" customWidth="1"/>
  </cols>
  <sheetData>
    <row r="1" spans="1:6" ht="19.8" customHeight="1" x14ac:dyDescent="0.3">
      <c r="A1" s="60" t="s">
        <v>19</v>
      </c>
      <c r="B1" s="25" t="s">
        <v>20</v>
      </c>
      <c r="C1" s="25" t="s">
        <v>21</v>
      </c>
    </row>
    <row r="2" spans="1:6" ht="16.8" x14ac:dyDescent="0.4">
      <c r="A2" s="5" t="s">
        <v>22</v>
      </c>
      <c r="B2" s="5">
        <v>6</v>
      </c>
      <c r="C2" s="26" t="str">
        <f>IF(COUNTIF('F. Таблица 2'!A$2:A$12, A2)=0,"нет на рынке", VLOOKUP(A2,'F. Таблица 2'!A$2:B$12,2,FALSE)*'F. Таблица 1'!B2)</f>
        <v>нет на рынке</v>
      </c>
      <c r="E2" s="1"/>
      <c r="F2" s="28"/>
    </row>
    <row r="3" spans="1:6" x14ac:dyDescent="0.3">
      <c r="A3" s="5" t="s">
        <v>23</v>
      </c>
      <c r="B3" s="5">
        <v>2</v>
      </c>
      <c r="C3" s="26">
        <f>IF(COUNTIF('F. Таблица 2'!A$2:A$12, A3)=0,"нет на рынке", VLOOKUP(A3,'F. Таблица 2'!A$2:B$12,2,FALSE)*'F. Таблица 1'!B3)</f>
        <v>310</v>
      </c>
    </row>
    <row r="4" spans="1:6" x14ac:dyDescent="0.3">
      <c r="A4" s="5" t="s">
        <v>24</v>
      </c>
      <c r="B4" s="5">
        <v>1</v>
      </c>
      <c r="C4" s="26" t="str">
        <f>IF(COUNTIF('F. Таблица 2'!A$2:A$12, A4)=0,"нет на рынке", VLOOKUP(A4,'F. Таблица 2'!A$2:B$12,2,FALSE)*'F. Таблица 1'!B4)</f>
        <v>нет на рынке</v>
      </c>
    </row>
    <row r="5" spans="1:6" x14ac:dyDescent="0.3">
      <c r="A5" s="5" t="s">
        <v>25</v>
      </c>
      <c r="B5" s="5">
        <v>4</v>
      </c>
      <c r="C5" s="26">
        <f>IF(COUNTIF('F. Таблица 2'!A$2:A$12, A5)=0,"нет на рынке", VLOOKUP(A5,'F. Таблица 2'!A$2:B$12,2,FALSE)*'F. Таблица 1'!B5)</f>
        <v>184</v>
      </c>
    </row>
    <row r="6" spans="1:6" x14ac:dyDescent="0.3">
      <c r="A6" s="5" t="s">
        <v>26</v>
      </c>
      <c r="B6" s="5">
        <v>2</v>
      </c>
      <c r="C6" s="26">
        <f>IF(COUNTIF('F. Таблица 2'!A$2:A$12, A6)=0,"нет на рынке", VLOOKUP(A6,'F. Таблица 2'!A$2:B$12,2,FALSE)*'F. Таблица 1'!B6)</f>
        <v>52</v>
      </c>
    </row>
    <row r="7" spans="1:6" x14ac:dyDescent="0.3">
      <c r="A7" s="5" t="s">
        <v>27</v>
      </c>
      <c r="B7" s="5">
        <v>5</v>
      </c>
      <c r="C7" s="26">
        <f>IF(COUNTIF('F. Таблица 2'!A$2:A$12, A7)=0,"нет на рынке", VLOOKUP(A7,'F. Таблица 2'!A$2:B$12,2,FALSE)*'F. Таблица 1'!B7)</f>
        <v>5000</v>
      </c>
    </row>
    <row r="8" spans="1:6" x14ac:dyDescent="0.3">
      <c r="A8" s="5" t="s">
        <v>28</v>
      </c>
      <c r="B8" s="5">
        <v>3</v>
      </c>
      <c r="C8" s="26">
        <f>IF(COUNTIF('F. Таблица 2'!A$2:A$12, A8)=0,"нет на рынке", VLOOKUP(A8,'F. Таблица 2'!A$2:B$12,2,FALSE)*'F. Таблица 1'!B8)</f>
        <v>21</v>
      </c>
    </row>
    <row r="9" spans="1:6" x14ac:dyDescent="0.3">
      <c r="A9" s="5" t="s">
        <v>29</v>
      </c>
      <c r="B9" s="5">
        <v>9</v>
      </c>
      <c r="C9" s="26">
        <f>IF(COUNTIF('F. Таблица 2'!A$2:A$12, A9)=0,"нет на рынке", VLOOKUP(A9,'F. Таблица 2'!A$2:B$12,2,FALSE)*'F. Таблица 1'!B9)</f>
        <v>58.5</v>
      </c>
    </row>
    <row r="10" spans="1:6" x14ac:dyDescent="0.3">
      <c r="A10" s="5" t="s">
        <v>30</v>
      </c>
      <c r="B10" s="5">
        <v>7</v>
      </c>
      <c r="C10" s="26" t="str">
        <f>IF(COUNTIF('F. Таблица 2'!A$2:A$12, A10)=0,"нет на рынке", VLOOKUP(A10,'F. Таблица 2'!A$2:B$12,2,FALSE)*'F. Таблица 1'!B10)</f>
        <v>нет на рынке</v>
      </c>
    </row>
    <row r="11" spans="1:6" x14ac:dyDescent="0.3">
      <c r="A11" s="5" t="s">
        <v>31</v>
      </c>
      <c r="B11" s="5">
        <v>2</v>
      </c>
      <c r="C11" s="26">
        <f>IF(COUNTIF('F. Таблица 2'!A$2:A$12, A11)=0,"нет на рынке", VLOOKUP(A11,'F. Таблица 2'!A$2:B$12,2,FALSE)*'F. Таблица 1'!B11)</f>
        <v>1000</v>
      </c>
      <c r="F11" s="1"/>
    </row>
    <row r="12" spans="1:6" x14ac:dyDescent="0.3">
      <c r="A12" s="5" t="s">
        <v>32</v>
      </c>
      <c r="B12" s="5">
        <v>1</v>
      </c>
      <c r="C12" s="26">
        <f>IF(COUNTIF('F. Таблица 2'!A$2:A$12, A12)=0,"нет на рынке", VLOOKUP(A12,'F. Таблица 2'!A$2:B$12,2,FALSE)*'F. Таблица 1'!B12)</f>
        <v>19</v>
      </c>
    </row>
    <row r="13" spans="1:6" x14ac:dyDescent="0.3">
      <c r="A13" s="18"/>
      <c r="B13" s="26" t="s">
        <v>17</v>
      </c>
      <c r="C13" s="26">
        <f>SUM(C2:C12)</f>
        <v>6644.5</v>
      </c>
    </row>
    <row r="17" spans="3:3" x14ac:dyDescent="0.3">
      <c r="C17" s="1"/>
    </row>
  </sheetData>
  <conditionalFormatting sqref="C2:C12">
    <cfRule type="cellIs" dxfId="0" priority="1" operator="equal">
      <formula>"нет на рынке"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B12"/>
  <sheetViews>
    <sheetView workbookViewId="0">
      <selection activeCell="D32" sqref="D32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2" x14ac:dyDescent="0.3">
      <c r="A1" s="27" t="s">
        <v>33</v>
      </c>
      <c r="B1" s="27" t="s">
        <v>34</v>
      </c>
    </row>
    <row r="2" spans="1:2" x14ac:dyDescent="0.3">
      <c r="A2" s="5" t="s">
        <v>23</v>
      </c>
      <c r="B2" s="5">
        <v>155</v>
      </c>
    </row>
    <row r="3" spans="1:2" x14ac:dyDescent="0.3">
      <c r="A3" s="5" t="s">
        <v>26</v>
      </c>
      <c r="B3" s="5">
        <v>26</v>
      </c>
    </row>
    <row r="4" spans="1:2" x14ac:dyDescent="0.3">
      <c r="A4" s="5" t="s">
        <v>27</v>
      </c>
      <c r="B4" s="5">
        <v>1000</v>
      </c>
    </row>
    <row r="5" spans="1:2" x14ac:dyDescent="0.3">
      <c r="A5" s="5" t="s">
        <v>28</v>
      </c>
      <c r="B5" s="5">
        <v>7</v>
      </c>
    </row>
    <row r="6" spans="1:2" x14ac:dyDescent="0.3">
      <c r="A6" s="5" t="s">
        <v>37</v>
      </c>
      <c r="B6" s="5">
        <v>1.5</v>
      </c>
    </row>
    <row r="7" spans="1:2" x14ac:dyDescent="0.3">
      <c r="A7" s="5" t="s">
        <v>31</v>
      </c>
      <c r="B7" s="5">
        <v>500</v>
      </c>
    </row>
    <row r="8" spans="1:2" x14ac:dyDescent="0.3">
      <c r="A8" s="5" t="s">
        <v>35</v>
      </c>
      <c r="B8" s="5">
        <v>450</v>
      </c>
    </row>
    <row r="9" spans="1:2" x14ac:dyDescent="0.3">
      <c r="A9" s="5" t="s">
        <v>36</v>
      </c>
      <c r="B9" s="5">
        <v>53</v>
      </c>
    </row>
    <row r="10" spans="1:2" x14ac:dyDescent="0.3">
      <c r="A10" s="5" t="s">
        <v>32</v>
      </c>
      <c r="B10" s="5">
        <v>19</v>
      </c>
    </row>
    <row r="11" spans="1:2" x14ac:dyDescent="0.3">
      <c r="A11" s="5" t="s">
        <v>25</v>
      </c>
      <c r="B11" s="5">
        <v>46</v>
      </c>
    </row>
    <row r="12" spans="1:2" x14ac:dyDescent="0.3">
      <c r="A12" s="5" t="s">
        <v>29</v>
      </c>
      <c r="B12" s="5">
        <v>6.5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17C7-23D6-454F-9AC0-BE53DF5E4696}">
  <sheetPr codeName="Sheet2"/>
  <dimension ref="A2:E9"/>
  <sheetViews>
    <sheetView workbookViewId="0">
      <selection activeCell="F14" sqref="F14"/>
    </sheetView>
  </sheetViews>
  <sheetFormatPr defaultRowHeight="14.4" x14ac:dyDescent="0.3"/>
  <cols>
    <col min="1" max="1" width="10.33203125" customWidth="1"/>
    <col min="3" max="3" width="11.77734375" customWidth="1"/>
    <col min="4" max="4" width="11.44140625" customWidth="1"/>
  </cols>
  <sheetData>
    <row r="2" spans="1:5" x14ac:dyDescent="0.3">
      <c r="A2" t="s">
        <v>127</v>
      </c>
      <c r="D2" s="24">
        <v>43743</v>
      </c>
    </row>
    <row r="4" spans="1:5" x14ac:dyDescent="0.3">
      <c r="A4" s="5" t="s">
        <v>128</v>
      </c>
      <c r="B4" s="5"/>
      <c r="C4" s="5">
        <v>1</v>
      </c>
    </row>
    <row r="5" spans="1:5" x14ac:dyDescent="0.3">
      <c r="A5" s="5" t="s">
        <v>18</v>
      </c>
      <c r="B5" s="5" t="s">
        <v>129</v>
      </c>
      <c r="C5" s="5" t="s">
        <v>130</v>
      </c>
      <c r="D5" s="5" t="s">
        <v>131</v>
      </c>
      <c r="E5" s="5" t="s">
        <v>132</v>
      </c>
    </row>
    <row r="6" spans="1:5" x14ac:dyDescent="0.3">
      <c r="A6" s="61">
        <v>43743</v>
      </c>
      <c r="B6" s="29">
        <v>0.41666666666666669</v>
      </c>
      <c r="C6" s="5" t="s">
        <v>133</v>
      </c>
      <c r="D6" s="5" t="s">
        <v>137</v>
      </c>
      <c r="E6" s="5"/>
    </row>
    <row r="7" spans="1:5" x14ac:dyDescent="0.3">
      <c r="A7" s="61">
        <v>43743</v>
      </c>
      <c r="B7" s="29">
        <v>0.5</v>
      </c>
      <c r="C7" s="5" t="s">
        <v>134</v>
      </c>
      <c r="D7" s="5" t="s">
        <v>138</v>
      </c>
      <c r="E7" s="5"/>
    </row>
    <row r="8" spans="1:5" x14ac:dyDescent="0.3">
      <c r="A8" s="61">
        <v>43744</v>
      </c>
      <c r="B8" s="29">
        <v>0.41666666666666669</v>
      </c>
      <c r="C8" s="5" t="s">
        <v>135</v>
      </c>
      <c r="D8" s="5" t="s">
        <v>139</v>
      </c>
      <c r="E8" s="5"/>
    </row>
    <row r="9" spans="1:5" x14ac:dyDescent="0.3">
      <c r="A9" s="61">
        <v>43744</v>
      </c>
      <c r="B9" s="29">
        <v>0.5</v>
      </c>
      <c r="C9" s="5" t="s">
        <v>136</v>
      </c>
      <c r="D9" s="5" t="s">
        <v>140</v>
      </c>
      <c r="E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A. Формула</vt:lpstr>
      <vt:lpstr>C. Справочник</vt:lpstr>
      <vt:lpstr>C. Расчет</vt:lpstr>
      <vt:lpstr>C. Диаграмма</vt:lpstr>
      <vt:lpstr>D. Фильтр</vt:lpstr>
      <vt:lpstr>F. Таблица 1</vt:lpstr>
      <vt:lpstr>F. Таблица 2</vt:lpstr>
      <vt:lpstr>G.</vt:lpstr>
      <vt:lpstr>'D. Фильтр'!Criteria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the7u</dc:creator>
  <cp:lastModifiedBy>the7u</cp:lastModifiedBy>
  <dcterms:created xsi:type="dcterms:W3CDTF">2015-06-05T18:19:34Z</dcterms:created>
  <dcterms:modified xsi:type="dcterms:W3CDTF">2020-12-25T12:28:37Z</dcterms:modified>
</cp:coreProperties>
</file>